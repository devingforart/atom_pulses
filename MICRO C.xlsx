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Receta Micro C" sheetId="1" r:id="rId1"/>
  </sheet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name val="Calibri"/>
      <family val="2"/>
    </font>
    <font>
      <b/>
      <color rgb="FFFFFFFF"/>
      <sz val="16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5D42"/>
        <bgColor indexed="64"/>
      </patternFill>
    </fill>
    <fill>
      <patternFill patternType="solid">
        <fgColor rgb="FF34775A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>
        <color rgb="FFD9E2DC"/>
      </left>
      <right style="thin">
        <color rgb="FFD9E2DC"/>
      </right>
      <top style="thin">
        <color rgb="FFD9E2DC"/>
      </top>
      <bottom style="thin">
        <color rgb="FFD9E2DC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>
      <alignment horizontal="center" vertical="center"/>
    </xf>
    <xf numFmtId="0" fontId="2" fillId="3" borderId="1" xfId="0">
      <alignment horizontal="center" vertical="center" wrapText="1"/>
    </xf>
    <xf numFmtId="0" fontId="2" fillId="2" borderId="0" xfId="0">
      <alignment horizontal="left" vertical="center"/>
    </xf>
    <xf numFmtId="0" fontId="0" fillId="0" borderId="1" xfId="0">
      <alignment vertical="center" wrapText="1"/>
    </xf>
    <xf numFmtId="164" fontId="0" fillId="0" borderId="1" xfId="0">
      <alignment horizontal="center" vertical="center"/>
    </xf>
    <xf numFmtId="0" fontId="0" fillId="0" borderId="1" xfId="0">
      <alignment horizontal="center" vertical="center"/>
    </xf>
    <xf numFmtId="0" fontId="0" fillId="4" borderId="1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0"/>
  <sheetViews>
    <sheetView workbookViewId="0">
      <pane ySplit="4" topLeftCell="A5" activePane="bottomLeft" state="frozen"/>
    </sheetView>
  </sheetViews>
  <sheetFormatPr defaultRowHeight="18"/>
  <cols>
    <col min="1" max="1" width="32" customWidth="1"/>
    <col min="2" max="2" width="19" customWidth="1"/>
    <col min="3" max="3" width="16" customWidth="1"/>
    <col min="4" max="4" width="47" customWidth="1"/>
    <col min="5" max="5" width="47" customWidth="1"/>
    <col min="6" max="7" width="13" customWidth="1"/>
  </cols>
  <sheetData>
    <row r="1" ht="28" customHeight="1">
      <c r="A1" t="inlineStr" s="1">
        <is>
          <t xml:space="preserve">RECETA FINAL MICRO C</t>
        </is>
      </c>
    </row>
    <row r="2" ht="24" customHeight="1">
      <c r="A2" t="inlineStr" s="2">
        <is>
          <t xml:space="preserve">Solucion madre: completar hasta 2,00 L finales | Dosis base: 20 ml por 40 L</t>
        </is>
      </c>
    </row>
    <row r="4" ht="26" customHeight="1">
      <c r="A4" t="inlineStr" s="2">
        <is>
          <t xml:space="preserve">Ingrediente</t>
        </is>
      </c>
      <c r="B4" t="inlineStr" s="2">
        <is>
          <t xml:space="preserve">Cantidad</t>
        </is>
      </c>
      <c r="C4" t="inlineStr" s="2">
        <is>
          <t xml:space="preserve">Unidad</t>
        </is>
      </c>
      <c r="D4" t="inlineStr" s="2">
        <is>
          <t xml:space="preserve">Especificacion obligatoria</t>
        </is>
      </c>
      <c r="E4" t="inlineStr" s="2">
        <is>
          <t xml:space="preserve">Control practico</t>
        </is>
      </c>
    </row>
    <row r="5" ht="34" customHeight="1">
      <c r="A5" t="inlineStr" s="4">
        <is>
          <t xml:space="preserve">Afital Hierro EDTA liquido</t>
        </is>
      </c>
      <c r="B5" s="5">
        <v>210</v>
      </c>
      <c r="C5" t="inlineStr" s="4">
        <is>
          <t xml:space="preserve">g</t>
        </is>
      </c>
      <c r="D5" t="inlineStr" s="4">
        <is>
          <t xml:space="preserve">Fe 4% p/p; EDTA/lignosulfonatos</t>
        </is>
      </c>
      <c r="E5" t="inlineStr" s="4">
        <is>
          <t xml:space="preserve">Pesar el producto; no medir 210 ml.</t>
        </is>
      </c>
    </row>
    <row r="6" ht="34" customHeight="1">
      <c r="A6" t="inlineStr" s="4">
        <is>
          <t xml:space="preserve">Sulfato de manganeso</t>
        </is>
      </c>
      <c r="B6" s="5">
        <v>7.74</v>
      </c>
      <c r="C6" t="inlineStr" s="4">
        <is>
          <t xml:space="preserve">g</t>
        </is>
      </c>
      <c r="D6" t="inlineStr" s="4">
        <is>
          <t xml:space="preserve">MnSO4.H2O monohidratado; 31% Mn</t>
        </is>
      </c>
      <c r="E6" t="inlineStr" s="4">
        <is>
          <t xml:space="preserve">Recalcular si la etiqueta indica otro porcentaje.</t>
        </is>
      </c>
    </row>
    <row r="7" ht="34" customHeight="1">
      <c r="A7" t="inlineStr" s="4">
        <is>
          <t xml:space="preserve">Sulfato de zinc</t>
        </is>
      </c>
      <c r="B7" s="5">
        <v>2.11</v>
      </c>
      <c r="C7" t="inlineStr" s="4">
        <is>
          <t xml:space="preserve">g</t>
        </is>
      </c>
      <c r="D7" t="inlineStr" s="4">
        <is>
          <t xml:space="preserve">ZnSO4.7H2O heptahidratado</t>
        </is>
      </c>
      <c r="E7" t="inlineStr" s="4">
        <is>
          <t xml:space="preserve">No sustituir por monohidratado gramo por gramo.</t>
        </is>
      </c>
    </row>
    <row r="8" ht="34" customHeight="1">
      <c r="A8" t="inlineStr" s="4">
        <is>
          <t xml:space="preserve">Acido borico</t>
        </is>
      </c>
      <c r="B8" s="5">
        <v>8.91</v>
      </c>
      <c r="C8" t="inlineStr" s="4">
        <is>
          <t xml:space="preserve">g</t>
        </is>
      </c>
      <c r="D8" t="inlineStr" s="4">
        <is>
          <t xml:space="preserve">H3BO3; 17,5% B</t>
        </is>
      </c>
      <c r="E8" t="inlineStr" s="4">
        <is>
          <t xml:space="preserve">Pureza declarada cercana a 99,9%.</t>
        </is>
      </c>
    </row>
    <row r="9" ht="34" customHeight="1">
      <c r="A9" t="inlineStr" s="4">
        <is>
          <t xml:space="preserve">Sulfato de cobre</t>
        </is>
      </c>
      <c r="B9" s="5">
        <v>0.48</v>
      </c>
      <c r="C9" t="inlineStr" s="4">
        <is>
          <t xml:space="preserve">g</t>
        </is>
      </c>
      <c r="D9" t="inlineStr" s="4">
        <is>
          <t xml:space="preserve">CuSO4.5H2O pentahidratado; aprox. 25% Cu</t>
        </is>
      </c>
      <c r="E9" t="inlineStr" s="4">
        <is>
          <t xml:space="preserve">Pesar con balanza de 0,001 g.</t>
        </is>
      </c>
    </row>
    <row r="10" ht="34" customHeight="1">
      <c r="A10" t="inlineStr" s="4">
        <is>
          <t xml:space="preserve">Molibdato de sodio</t>
        </is>
      </c>
      <c r="B10" s="5">
        <v>0.2</v>
      </c>
      <c r="C10" t="inlineStr" s="4">
        <is>
          <t xml:space="preserve">g</t>
        </is>
      </c>
      <c r="D10" t="inlineStr" s="4">
        <is>
          <t xml:space="preserve">Na2MoO4.2H2O dihidratado; 39,6% Mo</t>
        </is>
      </c>
      <c r="E10" t="inlineStr" s="4">
        <is>
          <t xml:space="preserve">Pesar con balanza de 0,001 g.</t>
        </is>
      </c>
    </row>
    <row r="11" ht="34" customHeight="1">
      <c r="A11" t="inlineStr" s="4">
        <is>
          <t xml:space="preserve">Agua destilada, bidestilada u osmosis</t>
        </is>
      </c>
      <c r="B11" t="inlineStr" s="4">
        <is>
          <t xml:space="preserve">c.s.p. 2,00</t>
        </is>
      </c>
      <c r="C11" t="inlineStr" s="4">
        <is>
          <t xml:space="preserve"/>
        </is>
      </c>
      <c r="D11" t="inlineStr" s="4">
        <is>
          <t xml:space="preserve">Completar hasta 2,00 L de volumen final</t>
        </is>
      </c>
      <c r="E11" t="inlineStr" s="4">
        <is>
          <t xml:space="preserve">No agregar 2 L encima de los ingredientes.</t>
        </is>
      </c>
    </row>
    <row r="14" ht="24" customHeight="1">
      <c r="A14" t="inlineStr" s="3">
        <is>
          <t xml:space="preserve">ORDEN DE PREPARACION</t>
        </is>
      </c>
    </row>
    <row r="15" ht="34" customHeight="1">
      <c r="A15" s="6">
        <v>1</v>
      </c>
      <c r="B15" t="inlineStr" s="4">
        <is>
          <t xml:space="preserve">Usar guantes, antiparras, recipientes limpios y balanza calibrada de 0,001 g.</t>
        </is>
      </c>
    </row>
    <row r="16" ht="34" customHeight="1">
      <c r="A16" s="6">
        <v>2</v>
      </c>
      <c r="B16" t="inlineStr" s="4">
        <is>
          <t xml:space="preserve">Colocar aproximadamente 1,5 L de agua destilada, bidestilada o de osmosis.</t>
        </is>
      </c>
    </row>
    <row r="17" ht="34" customHeight="1">
      <c r="A17" s="6">
        <v>3</v>
      </c>
      <c r="B17" t="inlineStr" s="4">
        <is>
          <t xml:space="preserve">Disolver cada sal por separado. Agregar: acido borico, manganeso, zinc, cobre y molibdato.</t>
        </is>
      </c>
    </row>
    <row r="18" ht="34" customHeight="1">
      <c r="A18" s="6">
        <v>4</v>
      </c>
      <c r="B18" t="inlineStr" s="4">
        <is>
          <t xml:space="preserve">Mezclar completamente entre cada agregado. No juntar polvos ni concentrados.</t>
        </is>
      </c>
    </row>
    <row r="19" ht="34" customHeight="1">
      <c r="A19" s="6">
        <v>5</v>
      </c>
      <c r="B19" t="inlineStr" s="4">
        <is>
          <t xml:space="preserve">Agregar los 210,00 g de Afital Fe-EDTA al final y homogeneizar.</t>
        </is>
      </c>
    </row>
    <row r="20" ht="34" customHeight="1">
      <c r="A20" s="6">
        <v>6</v>
      </c>
      <c r="B20" t="inlineStr" s="4">
        <is>
          <t xml:space="preserve">Completar con agua hasta un volumen final exacto de 2,00 L.</t>
        </is>
      </c>
    </row>
    <row r="21" ht="34" customHeight="1">
      <c r="A21" s="6">
        <v>7</v>
      </c>
      <c r="B21" t="inlineStr" s="4">
        <is>
          <t xml:space="preserve">Envasar en botella opaca y rotular formula, fecha y dosis. Agitar antes de usar.</t>
        </is>
      </c>
    </row>
    <row r="24" ht="24" customHeight="1">
      <c r="A24" t="inlineStr" s="3">
        <is>
          <t xml:space="preserve">APORTE ELEMENTAL CON 20 ml EN 40 L (ppm = mg/L)</t>
        </is>
      </c>
    </row>
    <row r="25" ht="22" customHeight="1">
      <c r="A25" t="inlineStr" s="2">
        <is>
          <t xml:space="preserve">Fe</t>
        </is>
      </c>
      <c r="B25" t="inlineStr" s="2">
        <is>
          <t xml:space="preserve">Mn</t>
        </is>
      </c>
      <c r="C25" t="inlineStr" s="2">
        <is>
          <t xml:space="preserve">Zn</t>
        </is>
      </c>
      <c r="D25" t="inlineStr" s="2">
        <is>
          <t xml:space="preserve">B</t>
        </is>
      </c>
      <c r="E25" t="inlineStr" s="2">
        <is>
          <t xml:space="preserve">Cu</t>
        </is>
      </c>
      <c r="F25" t="inlineStr" s="2">
        <is>
          <t xml:space="preserve">Mo</t>
        </is>
      </c>
    </row>
    <row r="26" ht="24" customHeight="1">
      <c r="A26" s="5">
        <v>2.1</v>
      </c>
      <c r="B26" s="5">
        <v>0.6</v>
      </c>
      <c r="C26" s="5">
        <v>0.12</v>
      </c>
      <c r="D26" s="5">
        <v>0.39</v>
      </c>
      <c r="E26" s="5">
        <v>0.0305</v>
      </c>
      <c r="F26" s="5">
        <v>0.0198</v>
      </c>
      <c r="G26" t="inlineStr" s="4">
        <is>
          <t xml:space="preserve">ppm = mg/L</t>
        </is>
      </c>
    </row>
    <row r="27" ht="24" customHeight="1">
      <c r="A27" s="5">
        <v>84</v>
      </c>
      <c r="B27" s="5">
        <v>24</v>
      </c>
      <c r="C27" s="5">
        <v>4.8</v>
      </c>
      <c r="D27" s="5">
        <v>15.6</v>
      </c>
      <c r="E27" s="5">
        <v>1.22</v>
      </c>
      <c r="F27" s="5">
        <v>0.792</v>
      </c>
      <c r="G27" t="inlineStr" s="4">
        <is>
          <t xml:space="preserve">mg totales en 40 L</t>
        </is>
      </c>
    </row>
    <row r="29" ht="24" customHeight="1">
      <c r="A29" t="inlineStr" s="3">
        <is>
          <t xml:space="preserve">CALCULADORA DE DOSIS</t>
        </is>
      </c>
    </row>
    <row r="30" ht="24" customHeight="1">
      <c r="A30" t="inlineStr" s="4">
        <is>
          <t xml:space="preserve">Litros reales del tanque</t>
        </is>
      </c>
      <c r="B30" s="7">
        <v>40</v>
      </c>
      <c r="C30" t="inlineStr" s="4">
        <is>
          <t xml:space="preserve">L (editable)</t>
        </is>
      </c>
    </row>
    <row r="31" ht="24" customHeight="1">
      <c r="A31" t="inlineStr" s="4">
        <is>
          <t xml:space="preserve">Micro C para ese tanque</t>
        </is>
      </c>
      <c r="B31" s="5">
        <f>B30*20/40</f>
        <v/>
      </c>
      <c r="C31" t="inlineStr" s="4">
        <is>
          <t xml:space="preserve">ml</t>
        </is>
      </c>
    </row>
    <row r="34" ht="24" customHeight="1">
      <c r="A34" t="inlineStr" s="3">
        <is>
          <t xml:space="preserve">CONTROLES IMPORTANTES</t>
        </is>
      </c>
    </row>
    <row r="35" ht="32" customHeight="1">
      <c r="A35" s="6">
        <v>1</v>
      </c>
      <c r="B35" t="inlineStr" s="4">
        <is>
          <t xml:space="preserve">Micro C no contiene Calcinit, KNO3, Epsom, sulfato de potasio, MKP ni silicato.</t>
        </is>
      </c>
    </row>
    <row r="36" ht="32" customHeight="1">
      <c r="A36" s="6">
        <v>2</v>
      </c>
      <c r="B36" t="inlineStr" s="4">
        <is>
          <t xml:space="preserve">Agregar Micro C al tanque con agua y circulacion. Nunca mezclarlo directamente con otros concentrados.</t>
        </is>
      </c>
    </row>
    <row r="37" ht="32" customHeight="1">
      <c r="A37" s="6">
        <v>3</v>
      </c>
      <c r="B37" t="inlineStr" s="4">
        <is>
          <t xml:space="preserve">El silicato fue eliminado del cultivo: no agregarlo a esta botella ni al tanque.</t>
        </is>
      </c>
    </row>
    <row r="38" ht="32" customHeight="1">
      <c r="A38" s="6">
        <v>4</v>
      </c>
      <c r="B38" t="inlineStr" s="4">
        <is>
          <t xml:space="preserve">Si una etiqueta no coincide con la forma hidratada o porcentaje indicado, hay que recalcular.</t>
        </is>
      </c>
    </row>
    <row r="39" ht="32" customHeight="1">
      <c r="A39" s="6">
        <v>5</v>
      </c>
      <c r="B39" t="inlineStr" s="4">
        <is>
          <t xml:space="preserve">No usar Micro C para subir la EC. Ajustar la EC con la receta principal y medir el tanque.</t>
        </is>
      </c>
    </row>
    <row r="40" ht="32" customHeight="1">
      <c r="A40" s="6">
        <v>6</v>
      </c>
      <c r="B40" t="inlineStr" s="4">
        <is>
          <t xml:space="preserve">No dosificar si aparecen cristales persistentes, turbidez, gel, olor o contaminacion.</t>
        </is>
      </c>
    </row>
  </sheetData>
  <mergeCells count="13">
    <mergeCell ref="A1:G1"/>
    <mergeCell ref="A2:G2"/>
    <mergeCell ref="A14:G14"/>
    <mergeCell ref="B15:G15"/>
    <mergeCell ref="B16:G16"/>
    <mergeCell ref="B17:G17"/>
    <mergeCell ref="B18:G18"/>
    <mergeCell ref="B19:G19"/>
    <mergeCell ref="B20:G20"/>
    <mergeCell ref="B21:G21"/>
    <mergeCell ref="A24:G24"/>
    <mergeCell ref="A29:G29"/>
    <mergeCell ref="A34:G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Receta final Micro C</dc:title>
  <dc:creator>Codex</dc:creator>
  <dcterms:created xsi:type="dcterms:W3CDTF">2026-10-02T00:00:00Z</dcterms:created>
</cp:coreProperties>
</file>